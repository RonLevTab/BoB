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luca/Downloads/"/>
    </mc:Choice>
  </mc:AlternateContent>
  <xr:revisionPtr revIDLastSave="0" documentId="8_{B5582F36-1BE6-B04B-B8EF-1C9709BE682E}" xr6:coauthVersionLast="47" xr6:coauthVersionMax="47" xr10:uidLastSave="{00000000-0000-0000-0000-000000000000}"/>
  <bookViews>
    <workbookView xWindow="2140" yWindow="600" windowWidth="25740" windowHeight="15320" tabRatio="500" xr2:uid="{00000000-000D-0000-FFFF-FFFF00000000}"/>
  </bookViews>
  <sheets>
    <sheet name="CAPEX_overzicht" sheetId="1" r:id="rId1"/>
    <sheet name="OPEX_en_onderhoud" sheetId="2" r:id="rId2"/>
    <sheet name="Scenario_analys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6" i="3" l="1"/>
  <c r="F16" i="3"/>
  <c r="E16" i="3"/>
  <c r="F15" i="3"/>
  <c r="G15" i="3" s="1"/>
  <c r="E15" i="3"/>
  <c r="E14" i="3"/>
  <c r="F14" i="3" s="1"/>
  <c r="G14" i="3" s="1"/>
  <c r="E13" i="3"/>
  <c r="F13" i="3" s="1"/>
  <c r="G13" i="3" s="1"/>
  <c r="E12" i="3"/>
  <c r="F12" i="3" s="1"/>
  <c r="G12" i="3" s="1"/>
  <c r="E11" i="3"/>
  <c r="F11" i="3" s="1"/>
  <c r="G11" i="3" s="1"/>
  <c r="E10" i="3"/>
  <c r="F10" i="3" s="1"/>
  <c r="G10" i="3" s="1"/>
  <c r="F9" i="3"/>
  <c r="G9" i="3" s="1"/>
  <c r="E9" i="3"/>
  <c r="E8" i="3"/>
  <c r="F8" i="3" s="1"/>
  <c r="G8" i="3" s="1"/>
  <c r="E8" i="2"/>
  <c r="E7" i="2"/>
  <c r="E6" i="2"/>
  <c r="E5" i="2"/>
  <c r="E4" i="2"/>
  <c r="D7" i="1"/>
  <c r="D6" i="1"/>
  <c r="D5" i="1"/>
  <c r="D4" i="1"/>
  <c r="D8" i="1" s="1"/>
</calcChain>
</file>

<file path=xl/sharedStrings.xml><?xml version="1.0" encoding="utf-8"?>
<sst xmlns="http://schemas.openxmlformats.org/spreadsheetml/2006/main" count="70" uniqueCount="68">
  <si>
    <t>CAPEX overzicht – winnaar-pomp</t>
  </si>
  <si>
    <t>Onderdeel</t>
  </si>
  <si>
    <t>Aantal</t>
  </si>
  <si>
    <t>Eenheidsprijs (€)</t>
  </si>
  <si>
    <t>Totaal (€)</t>
  </si>
  <si>
    <t>Toelichting</t>
  </si>
  <si>
    <t>Pompunit (publiek, vandalismebestendig)</t>
  </si>
  <si>
    <t>Eenvoudige maar robuuste fietspomp voor openbare ruimte</t>
  </si>
  <si>
    <t>Behuizing + bevestiging</t>
  </si>
  <si>
    <t>Stalen behuizing, poedercoating, ankerplaat</t>
  </si>
  <si>
    <t>Installatie (montage + fundering)</t>
  </si>
  <si>
    <t>Inclusief boren, bevestigen, klein grondwerk</t>
  </si>
  <si>
    <t>Remote monitoring hardware (modem, controller, sensoren)</t>
  </si>
  <si>
    <t>4G/IoT modem, controller, deursensor, bedrading</t>
  </si>
  <si>
    <t>Totaal CAPEX</t>
  </si>
  <si>
    <t>Blauwe cellen (Aantal, Eenheidsprijs) zijn aanpasbaar; Totaal (€) en Totaal CAPEX herrekenen automatisch.</t>
  </si>
  <si>
    <t>OPEX en onderhoud – winnaar-pomp (per jaar)</t>
  </si>
  <si>
    <t>Categorie</t>
  </si>
  <si>
    <t>Frequentie</t>
  </si>
  <si>
    <t>Aantal per jaar</t>
  </si>
  <si>
    <t>Eenheidskosten (€)</t>
  </si>
  <si>
    <t>Totaal per jaar (€)</t>
  </si>
  <si>
    <t>Preventief onderhoud (monteur)</t>
  </si>
  <si>
    <t>1x per kwartaal per pomp</t>
  </si>
  <si>
    <t>15–20 min per pomp; 40 bezoeken/jaar voor 10 pompen</t>
  </si>
  <si>
    <t>Correctief onderhoud (storingen)</t>
  </si>
  <si>
    <t>Gem. 0,3 storingen/pomp/jaar</t>
  </si>
  <si>
    <t>Ongeplande bezoeken bij storing/vandalisme</t>
  </si>
  <si>
    <t>Remote monitoring (data + platform)</t>
  </si>
  <si>
    <t>Per pomp per jaar</t>
  </si>
  <si>
    <t>SIM-data + SaaS-licentie</t>
  </si>
  <si>
    <t>Overige kosten (verzekering, klein materiaal)</t>
  </si>
  <si>
    <t>Per jaar</t>
  </si>
  <si>
    <t>Verzekering, reserveonderdelen, etc.</t>
  </si>
  <si>
    <t>Totaal OPEX per jaar</t>
  </si>
  <si>
    <t>Blauwe cellen (Aantal per jaar, Eenheidskosten) zijn aanpasbaar; totalen herrekenen automatisch.</t>
  </si>
  <si>
    <t>Scenario-analyse – winnaar-pomp</t>
  </si>
  <si>
    <t>Parameters</t>
  </si>
  <si>
    <t>Revenue = Beurten per dag × Aantal pompen × 365 × Prijs per beurt   |   Cashflow = Revenue − OPEX   |   Payback = CAPEX / Cashflow</t>
  </si>
  <si>
    <t>Aantal pompen</t>
  </si>
  <si>
    <t>Prijs per beurt (€)</t>
  </si>
  <si>
    <t>Scenario</t>
  </si>
  <si>
    <t>CAPEX totaal (€)</t>
  </si>
  <si>
    <t>OPEX per jaar (€)</t>
  </si>
  <si>
    <t>Beurten per dag (gem.)</t>
  </si>
  <si>
    <t>Revenue per jaar (€)</t>
  </si>
  <si>
    <t>Cashflow per jaar (€)</t>
  </si>
  <si>
    <t>Payback (jaar)</t>
  </si>
  <si>
    <t>1 – duur, weinig gebruik</t>
  </si>
  <si>
    <t>Dure hardware, laag gebruik</t>
  </si>
  <si>
    <t>2 – duur, jouw schatting</t>
  </si>
  <si>
    <t>Referentiescenario uit gesprek</t>
  </si>
  <si>
    <t>3 – duur, iets meer gebruik</t>
  </si>
  <si>
    <t>Dure hardware, iets meer volume</t>
  </si>
  <si>
    <t>4 – goedkoop, weinig gebruik</t>
  </si>
  <si>
    <t>Goedkope hardware, laag gebruik</t>
  </si>
  <si>
    <t>5 – goedkoop, jouw schatting</t>
  </si>
  <si>
    <t>Goedkope hardware, 2,23 beurten/dag</t>
  </si>
  <si>
    <t>6 – goedkoop, iets meer gebruik</t>
  </si>
  <si>
    <t>Goedkope hardware, &gt;2,5 beurten/dag</t>
  </si>
  <si>
    <t>7 – goedkoop + meer storingen</t>
  </si>
  <si>
    <t>Goedkope hardware, meer storingen (hogere OPEX)</t>
  </si>
  <si>
    <t>8 – goedkoop + meer storingen, weinig gebruik</t>
  </si>
  <si>
    <t>Goedkope hardware, laag gebruik + storingen</t>
  </si>
  <si>
    <t>9 – goedkoop, hoog gebruik</t>
  </si>
  <si>
    <t>Goedkope hardware, hoog volume (3 beurten/dag)</t>
  </si>
  <si>
    <t>Blauwe cellen zijn aanpasbaar: Aantal pompen en Prijs per beurt hierboven, en per scenario CAPEX totaal, OPEX per jaar en Beurten per dag. Revenue, Cashflow en Payback herrekenen automatisch.</t>
  </si>
  <si>
    <t>Let op: CAPEX totaal 'duur' (29.500 €) en 'goedkoop' (20.500 €) zijn scenario-inputs uit het onderzoek en wijken iets af van de itemized 27.000 € op tabblad CAPEX_overzicht (dat tabblad is één specifieke, dure hardwarekeuze; pas gerust aan naar eigen inzicht).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</si>
</sst>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€&quot;"/>
    <numFmt numFmtId="165" formatCode="0.0"/>
  </numFmts>
  <fonts count="7" x14ac:knownFonts="1">
    <font>
      <sz val="11"/>
      <color theme="1"/>
      <name val="Calibri"/>
      <family val="2"/>
      <charset val="1"/>
    </font>
    <font>
      <b/>
      <sz val="13"/>
      <color rgb="FF000000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b/>
      <sz val="11"/>
      <color rgb="FF000000"/>
      <name val="Arial"/>
      <family val="2"/>
    </font>
    <font>
      <i/>
      <sz val="9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</fills>
  <borders count="4">
    <border>
      <left/>
      <right/>
      <top/>
      <bottom/>
      <diagonal/>
    </border>
    <border>
      <left/>
      <right/>
      <top/>
      <bottom style="thin">
        <color rgb="FF9DB2CE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9DB2CE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6" fillId="0" borderId="0" xfId="0" applyFont="1" applyAlignment="1">
      <alignment vertical="top" wrapText="1"/>
    </xf>
    <xf numFmtId="0" fontId="6" fillId="0" borderId="0" xfId="0" applyFont="1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right" vertical="center"/>
    </xf>
    <xf numFmtId="164" fontId="3" fillId="0" borderId="2" xfId="0" applyNumberFormat="1" applyFont="1" applyBorder="1" applyAlignment="1">
      <alignment horizontal="right" vertical="center"/>
    </xf>
    <xf numFmtId="0" fontId="5" fillId="3" borderId="3" xfId="0" applyFont="1" applyFill="1" applyBorder="1"/>
    <xf numFmtId="164" fontId="5" fillId="3" borderId="3" xfId="0" applyNumberFormat="1" applyFont="1" applyFill="1" applyBorder="1" applyAlignment="1">
      <alignment horizontal="right" vertical="center"/>
    </xf>
    <xf numFmtId="0" fontId="5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right"/>
    </xf>
    <xf numFmtId="2" fontId="4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DB2CE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showGridLines="0" tabSelected="1" zoomScaleNormal="100" workbookViewId="0">
      <pane ySplit="3" topLeftCell="A4" activePane="bottomLeft" state="frozen"/>
      <selection pane="bottomLeft" sqref="A1:E1"/>
    </sheetView>
  </sheetViews>
  <sheetFormatPr baseColWidth="10" defaultColWidth="8.6640625" defaultRowHeight="15" x14ac:dyDescent="0.2"/>
  <cols>
    <col min="1" max="1" width="42" customWidth="1"/>
    <col min="2" max="2" width="9" customWidth="1"/>
    <col min="3" max="3" width="16" customWidth="1"/>
    <col min="4" max="4" width="12" customWidth="1"/>
    <col min="5" max="5" width="46" customWidth="1"/>
  </cols>
  <sheetData>
    <row r="1" spans="1:5" ht="17" x14ac:dyDescent="0.2">
      <c r="A1" s="3" t="s">
        <v>0</v>
      </c>
      <c r="B1" s="3"/>
      <c r="C1" s="3"/>
      <c r="D1" s="3"/>
      <c r="E1" s="3"/>
    </row>
    <row r="3" spans="1:5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 ht="30" x14ac:dyDescent="0.2">
      <c r="A4" s="5" t="s">
        <v>6</v>
      </c>
      <c r="B4" s="6">
        <v>10</v>
      </c>
      <c r="C4" s="7">
        <v>1600</v>
      </c>
      <c r="D4" s="8">
        <f>B4*C4</f>
        <v>16000</v>
      </c>
      <c r="E4" s="5" t="s">
        <v>7</v>
      </c>
    </row>
    <row r="5" spans="1:5" x14ac:dyDescent="0.2">
      <c r="A5" s="5" t="s">
        <v>8</v>
      </c>
      <c r="B5" s="6">
        <v>10</v>
      </c>
      <c r="C5" s="7">
        <v>300</v>
      </c>
      <c r="D5" s="8">
        <f>B5*C5</f>
        <v>3000</v>
      </c>
      <c r="E5" s="5" t="s">
        <v>9</v>
      </c>
    </row>
    <row r="6" spans="1:5" x14ac:dyDescent="0.2">
      <c r="A6" s="5" t="s">
        <v>10</v>
      </c>
      <c r="B6" s="6">
        <v>10</v>
      </c>
      <c r="C6" s="7">
        <v>400</v>
      </c>
      <c r="D6" s="8">
        <f>B6*C6</f>
        <v>4000</v>
      </c>
      <c r="E6" s="5" t="s">
        <v>11</v>
      </c>
    </row>
    <row r="7" spans="1:5" ht="30" x14ac:dyDescent="0.2">
      <c r="A7" s="5" t="s">
        <v>12</v>
      </c>
      <c r="B7" s="6">
        <v>10</v>
      </c>
      <c r="C7" s="7">
        <v>400</v>
      </c>
      <c r="D7" s="8">
        <f>B7*C7</f>
        <v>4000</v>
      </c>
      <c r="E7" s="5" t="s">
        <v>13</v>
      </c>
    </row>
    <row r="8" spans="1:5" x14ac:dyDescent="0.2">
      <c r="A8" s="9" t="s">
        <v>14</v>
      </c>
      <c r="B8" s="9"/>
      <c r="C8" s="9"/>
      <c r="D8" s="10">
        <f>SUM(D4:D7)</f>
        <v>27000</v>
      </c>
      <c r="E8" s="9"/>
    </row>
    <row r="10" spans="1:5" x14ac:dyDescent="0.2">
      <c r="A10" s="2" t="s">
        <v>15</v>
      </c>
      <c r="B10" s="2"/>
      <c r="C10" s="2"/>
      <c r="D10" s="2"/>
      <c r="E10" s="2"/>
    </row>
  </sheetData>
  <mergeCells count="2">
    <mergeCell ref="A1:E1"/>
    <mergeCell ref="A10:E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38" customWidth="1"/>
    <col min="2" max="2" width="26" customWidth="1"/>
    <col min="3" max="3" width="14" customWidth="1"/>
    <col min="4" max="5" width="16" customWidth="1"/>
    <col min="6" max="6" width="42" customWidth="1"/>
  </cols>
  <sheetData>
    <row r="1" spans="1:6" ht="17" x14ac:dyDescent="0.2">
      <c r="A1" s="3" t="s">
        <v>16</v>
      </c>
      <c r="B1" s="3"/>
      <c r="C1" s="3"/>
      <c r="D1" s="3"/>
      <c r="E1" s="3"/>
      <c r="F1" s="3"/>
    </row>
    <row r="3" spans="1:6" ht="30" x14ac:dyDescent="0.2">
      <c r="A3" s="4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5</v>
      </c>
    </row>
    <row r="4" spans="1:6" ht="30" x14ac:dyDescent="0.2">
      <c r="A4" s="5" t="s">
        <v>22</v>
      </c>
      <c r="B4" s="5" t="s">
        <v>23</v>
      </c>
      <c r="C4" s="6">
        <v>40</v>
      </c>
      <c r="D4" s="7">
        <v>50</v>
      </c>
      <c r="E4" s="8">
        <f>C4*D4</f>
        <v>2000</v>
      </c>
      <c r="F4" s="5" t="s">
        <v>24</v>
      </c>
    </row>
    <row r="5" spans="1:6" x14ac:dyDescent="0.2">
      <c r="A5" s="5" t="s">
        <v>25</v>
      </c>
      <c r="B5" s="5" t="s">
        <v>26</v>
      </c>
      <c r="C5" s="6">
        <v>3</v>
      </c>
      <c r="D5" s="7">
        <v>50</v>
      </c>
      <c r="E5" s="8">
        <f>C5*D5</f>
        <v>150</v>
      </c>
      <c r="F5" s="5" t="s">
        <v>27</v>
      </c>
    </row>
    <row r="6" spans="1:6" x14ac:dyDescent="0.2">
      <c r="A6" s="5" t="s">
        <v>28</v>
      </c>
      <c r="B6" s="5" t="s">
        <v>29</v>
      </c>
      <c r="C6" s="6">
        <v>10</v>
      </c>
      <c r="D6" s="7">
        <v>90</v>
      </c>
      <c r="E6" s="8">
        <f>C6*D6</f>
        <v>900</v>
      </c>
      <c r="F6" s="5" t="s">
        <v>30</v>
      </c>
    </row>
    <row r="7" spans="1:6" ht="30" x14ac:dyDescent="0.2">
      <c r="A7" s="5" t="s">
        <v>31</v>
      </c>
      <c r="B7" s="5" t="s">
        <v>32</v>
      </c>
      <c r="C7" s="6">
        <v>1</v>
      </c>
      <c r="D7" s="7">
        <v>200</v>
      </c>
      <c r="E7" s="8">
        <f>C7*D7</f>
        <v>200</v>
      </c>
      <c r="F7" s="5" t="s">
        <v>33</v>
      </c>
    </row>
    <row r="8" spans="1:6" x14ac:dyDescent="0.2">
      <c r="A8" s="9" t="s">
        <v>34</v>
      </c>
      <c r="B8" s="9"/>
      <c r="C8" s="9"/>
      <c r="D8" s="9"/>
      <c r="E8" s="10">
        <f>SUM(E4:E7)</f>
        <v>3250</v>
      </c>
      <c r="F8" s="9"/>
    </row>
    <row r="10" spans="1:6" x14ac:dyDescent="0.2">
      <c r="A10" s="2" t="s">
        <v>35</v>
      </c>
      <c r="B10" s="2"/>
      <c r="C10" s="2"/>
      <c r="D10" s="2"/>
      <c r="E10" s="2"/>
      <c r="F10" s="2"/>
    </row>
  </sheetData>
  <mergeCells count="2">
    <mergeCell ref="A1:F1"/>
    <mergeCell ref="A10:F1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showGridLines="0" zoomScaleNormal="100" workbookViewId="0">
      <pane ySplit="7" topLeftCell="A8" activePane="bottomLeft" state="frozen"/>
      <selection pane="bottomLeft"/>
    </sheetView>
  </sheetViews>
  <sheetFormatPr baseColWidth="10" defaultColWidth="8.6640625" defaultRowHeight="15" x14ac:dyDescent="0.2"/>
  <cols>
    <col min="1" max="1" width="34" customWidth="1"/>
    <col min="2" max="2" width="16" customWidth="1"/>
    <col min="3" max="3" width="15" customWidth="1"/>
    <col min="4" max="5" width="16" customWidth="1"/>
    <col min="6" max="6" width="17" customWidth="1"/>
    <col min="7" max="7" width="13" customWidth="1"/>
    <col min="8" max="8" width="40" customWidth="1"/>
  </cols>
  <sheetData>
    <row r="1" spans="1:8" ht="17" x14ac:dyDescent="0.2">
      <c r="A1" s="3" t="s">
        <v>36</v>
      </c>
      <c r="B1" s="3"/>
      <c r="C1" s="3"/>
      <c r="D1" s="3"/>
      <c r="E1" s="3"/>
      <c r="F1" s="3"/>
      <c r="G1" s="3"/>
      <c r="H1" s="3"/>
    </row>
    <row r="3" spans="1:8" ht="15" customHeight="1" x14ac:dyDescent="0.2">
      <c r="A3" s="11" t="s">
        <v>37</v>
      </c>
      <c r="D3" s="1" t="s">
        <v>38</v>
      </c>
      <c r="E3" s="1"/>
      <c r="F3" s="1"/>
      <c r="G3" s="1"/>
      <c r="H3" s="1"/>
    </row>
    <row r="4" spans="1:8" x14ac:dyDescent="0.2">
      <c r="A4" s="12" t="s">
        <v>39</v>
      </c>
      <c r="B4" s="13">
        <v>10</v>
      </c>
      <c r="D4" s="1"/>
      <c r="E4" s="1"/>
      <c r="F4" s="1"/>
      <c r="G4" s="1"/>
      <c r="H4" s="1"/>
    </row>
    <row r="5" spans="1:8" x14ac:dyDescent="0.2">
      <c r="A5" s="12" t="s">
        <v>40</v>
      </c>
      <c r="B5" s="14">
        <v>1</v>
      </c>
      <c r="D5" s="1"/>
      <c r="E5" s="1"/>
      <c r="F5" s="1"/>
      <c r="G5" s="1"/>
      <c r="H5" s="1"/>
    </row>
    <row r="7" spans="1:8" ht="30" x14ac:dyDescent="0.2">
      <c r="A7" s="4" t="s">
        <v>41</v>
      </c>
      <c r="B7" s="4" t="s">
        <v>42</v>
      </c>
      <c r="C7" s="4" t="s">
        <v>43</v>
      </c>
      <c r="D7" s="4" t="s">
        <v>44</v>
      </c>
      <c r="E7" s="4" t="s">
        <v>45</v>
      </c>
      <c r="F7" s="4" t="s">
        <v>46</v>
      </c>
      <c r="G7" s="4" t="s">
        <v>47</v>
      </c>
      <c r="H7" s="4" t="s">
        <v>5</v>
      </c>
    </row>
    <row r="8" spans="1:8" x14ac:dyDescent="0.2">
      <c r="A8" s="5" t="s">
        <v>48</v>
      </c>
      <c r="B8" s="7">
        <v>29500</v>
      </c>
      <c r="C8" s="7">
        <v>3150</v>
      </c>
      <c r="D8" s="15">
        <v>2</v>
      </c>
      <c r="E8" s="8">
        <f t="shared" ref="E8:E16" si="0">D8*$B$4*365*$B$5</f>
        <v>7300</v>
      </c>
      <c r="F8" s="8">
        <f t="shared" ref="F8:F16" si="1">E8-C8</f>
        <v>4150</v>
      </c>
      <c r="G8" s="16">
        <f t="shared" ref="G8:G16" si="2">IFERROR(B8/F8,"")</f>
        <v>7.1084337349397586</v>
      </c>
      <c r="H8" s="5" t="s">
        <v>49</v>
      </c>
    </row>
    <row r="9" spans="1:8" x14ac:dyDescent="0.2">
      <c r="A9" s="5" t="s">
        <v>50</v>
      </c>
      <c r="B9" s="7">
        <v>29500</v>
      </c>
      <c r="C9" s="7">
        <v>3150</v>
      </c>
      <c r="D9" s="15">
        <v>2.23</v>
      </c>
      <c r="E9" s="8">
        <f t="shared" si="0"/>
        <v>8139.5</v>
      </c>
      <c r="F9" s="8">
        <f t="shared" si="1"/>
        <v>4989.5</v>
      </c>
      <c r="G9" s="16">
        <f t="shared" si="2"/>
        <v>5.9124160737548852</v>
      </c>
      <c r="H9" s="5" t="s">
        <v>51</v>
      </c>
    </row>
    <row r="10" spans="1:8" x14ac:dyDescent="0.2">
      <c r="A10" s="5" t="s">
        <v>52</v>
      </c>
      <c r="B10" s="7">
        <v>29500</v>
      </c>
      <c r="C10" s="7">
        <v>3150</v>
      </c>
      <c r="D10" s="15">
        <v>2.5</v>
      </c>
      <c r="E10" s="8">
        <f t="shared" si="0"/>
        <v>9125</v>
      </c>
      <c r="F10" s="8">
        <f t="shared" si="1"/>
        <v>5975</v>
      </c>
      <c r="G10" s="16">
        <f t="shared" si="2"/>
        <v>4.9372384937238492</v>
      </c>
      <c r="H10" s="5" t="s">
        <v>53</v>
      </c>
    </row>
    <row r="11" spans="1:8" x14ac:dyDescent="0.2">
      <c r="A11" s="5" t="s">
        <v>54</v>
      </c>
      <c r="B11" s="7">
        <v>20500</v>
      </c>
      <c r="C11" s="7">
        <v>3150</v>
      </c>
      <c r="D11" s="15">
        <v>2</v>
      </c>
      <c r="E11" s="8">
        <f t="shared" si="0"/>
        <v>7300</v>
      </c>
      <c r="F11" s="8">
        <f t="shared" si="1"/>
        <v>4150</v>
      </c>
      <c r="G11" s="16">
        <f t="shared" si="2"/>
        <v>4.9397590361445785</v>
      </c>
      <c r="H11" s="5" t="s">
        <v>55</v>
      </c>
    </row>
    <row r="12" spans="1:8" x14ac:dyDescent="0.2">
      <c r="A12" s="5" t="s">
        <v>56</v>
      </c>
      <c r="B12" s="7">
        <v>20500</v>
      </c>
      <c r="C12" s="7">
        <v>3150</v>
      </c>
      <c r="D12" s="15">
        <v>2.23</v>
      </c>
      <c r="E12" s="8">
        <f t="shared" si="0"/>
        <v>8139.5</v>
      </c>
      <c r="F12" s="8">
        <f t="shared" si="1"/>
        <v>4989.5</v>
      </c>
      <c r="G12" s="16">
        <f t="shared" si="2"/>
        <v>4.1086281190500049</v>
      </c>
      <c r="H12" s="5" t="s">
        <v>57</v>
      </c>
    </row>
    <row r="13" spans="1:8" x14ac:dyDescent="0.2">
      <c r="A13" s="5" t="s">
        <v>58</v>
      </c>
      <c r="B13" s="7">
        <v>20500</v>
      </c>
      <c r="C13" s="7">
        <v>3150</v>
      </c>
      <c r="D13" s="15">
        <v>2.5</v>
      </c>
      <c r="E13" s="8">
        <f t="shared" si="0"/>
        <v>9125</v>
      </c>
      <c r="F13" s="8">
        <f t="shared" si="1"/>
        <v>5975</v>
      </c>
      <c r="G13" s="16">
        <f t="shared" si="2"/>
        <v>3.4309623430962342</v>
      </c>
      <c r="H13" s="5" t="s">
        <v>59</v>
      </c>
    </row>
    <row r="14" spans="1:8" ht="30" x14ac:dyDescent="0.2">
      <c r="A14" s="5" t="s">
        <v>60</v>
      </c>
      <c r="B14" s="7">
        <v>20500</v>
      </c>
      <c r="C14" s="7">
        <v>4150</v>
      </c>
      <c r="D14" s="15">
        <v>2.23</v>
      </c>
      <c r="E14" s="8">
        <f t="shared" si="0"/>
        <v>8139.5</v>
      </c>
      <c r="F14" s="8">
        <f t="shared" si="1"/>
        <v>3989.5</v>
      </c>
      <c r="G14" s="16">
        <f t="shared" si="2"/>
        <v>5.1384885323975436</v>
      </c>
      <c r="H14" s="5" t="s">
        <v>61</v>
      </c>
    </row>
    <row r="15" spans="1:8" ht="30" x14ac:dyDescent="0.2">
      <c r="A15" s="5" t="s">
        <v>62</v>
      </c>
      <c r="B15" s="7">
        <v>20500</v>
      </c>
      <c r="C15" s="7">
        <v>4150</v>
      </c>
      <c r="D15" s="15">
        <v>2</v>
      </c>
      <c r="E15" s="8">
        <f t="shared" si="0"/>
        <v>7300</v>
      </c>
      <c r="F15" s="8">
        <f t="shared" si="1"/>
        <v>3150</v>
      </c>
      <c r="G15" s="16">
        <f t="shared" si="2"/>
        <v>6.5079365079365079</v>
      </c>
      <c r="H15" s="5" t="s">
        <v>63</v>
      </c>
    </row>
    <row r="16" spans="1:8" ht="30" x14ac:dyDescent="0.2">
      <c r="A16" s="5" t="s">
        <v>64</v>
      </c>
      <c r="B16" s="7">
        <v>20500</v>
      </c>
      <c r="C16" s="7">
        <v>3150</v>
      </c>
      <c r="D16" s="15">
        <v>3</v>
      </c>
      <c r="E16" s="8">
        <f t="shared" si="0"/>
        <v>10950</v>
      </c>
      <c r="F16" s="8">
        <f t="shared" si="1"/>
        <v>7800</v>
      </c>
      <c r="G16" s="16">
        <f t="shared" si="2"/>
        <v>2.6282051282051282</v>
      </c>
      <c r="H16" s="5" t="s">
        <v>65</v>
      </c>
    </row>
    <row r="18" spans="1:8" x14ac:dyDescent="0.2">
      <c r="A18" s="2" t="s">
        <v>66</v>
      </c>
      <c r="B18" s="2"/>
      <c r="C18" s="2"/>
      <c r="D18" s="2"/>
      <c r="E18" s="2"/>
      <c r="F18" s="2"/>
      <c r="G18" s="2"/>
      <c r="H18" s="2"/>
    </row>
    <row r="19" spans="1:8" x14ac:dyDescent="0.2">
      <c r="A19" s="2" t="s">
        <v>67</v>
      </c>
      <c r="B19" s="2"/>
      <c r="C19" s="2"/>
      <c r="D19" s="2"/>
      <c r="E19" s="2"/>
      <c r="F19" s="2"/>
      <c r="G19" s="2"/>
      <c r="H19" s="2"/>
    </row>
  </sheetData>
  <mergeCells count="4">
    <mergeCell ref="A1:H1"/>
    <mergeCell ref="D3:H5"/>
    <mergeCell ref="A18:H18"/>
    <mergeCell ref="A19:H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CAPEX_overzicht</vt:lpstr>
      <vt:lpstr>OPEX_en_onderhoud</vt:lpstr>
      <vt:lpstr>Scenario_analyse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Heijnen, Luca (243815)</cp:lastModifiedBy>
  <cp:revision>0</cp:revision>
  <dcterms:created xsi:type="dcterms:W3CDTF">2026-09-02T11:44:33Z</dcterms:created>
  <dcterms:modified xsi:type="dcterms:W3CDTF">2026-09-02T11:45:29Z</dcterms:modified>
  <dc:language>en-US</dc:language>
</cp:coreProperties>
</file>